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okesienkiewicz/Documents/Code_notebook/Misc/"/>
    </mc:Choice>
  </mc:AlternateContent>
  <xr:revisionPtr revIDLastSave="0" documentId="13_ncr:1_{1D979930-4F0E-8E45-A3F9-1FD9BBD65E55}" xr6:coauthVersionLast="47" xr6:coauthVersionMax="47" xr10:uidLastSave="{00000000-0000-0000-0000-000000000000}"/>
  <bookViews>
    <workbookView xWindow="960" yWindow="760" windowWidth="15400" windowHeight="17500" xr2:uid="{FDA98339-A15A-BC4C-83AA-1A5C9801CC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2" i="1"/>
  <c r="H14" i="1"/>
  <c r="H22" i="1"/>
  <c r="H23" i="1"/>
  <c r="H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10" i="1"/>
  <c r="H10" i="1" s="1"/>
  <c r="G11" i="1"/>
  <c r="H11" i="1" s="1"/>
  <c r="G13" i="1"/>
  <c r="H13" i="1" s="1"/>
  <c r="G14" i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G24" i="1"/>
  <c r="H24" i="1" s="1"/>
  <c r="G2" i="1"/>
</calcChain>
</file>

<file path=xl/sharedStrings.xml><?xml version="1.0" encoding="utf-8"?>
<sst xmlns="http://schemas.openxmlformats.org/spreadsheetml/2006/main" count="67" uniqueCount="52">
  <si>
    <t>Specie</t>
  </si>
  <si>
    <t>aaga</t>
  </si>
  <si>
    <t>sint</t>
  </si>
  <si>
    <t>pcli</t>
  </si>
  <si>
    <t>cnat</t>
  </si>
  <si>
    <t>pstr</t>
  </si>
  <si>
    <t>myce</t>
  </si>
  <si>
    <t>dlab</t>
  </si>
  <si>
    <t>mali</t>
  </si>
  <si>
    <t>scol</t>
  </si>
  <si>
    <t>mjac</t>
  </si>
  <si>
    <t>mmea</t>
  </si>
  <si>
    <t>efas</t>
  </si>
  <si>
    <t>dsto</t>
  </si>
  <si>
    <t>ofra</t>
  </si>
  <si>
    <t>oann</t>
  </si>
  <si>
    <t>ofav</t>
  </si>
  <si>
    <t>mcav</t>
  </si>
  <si>
    <t>odif</t>
  </si>
  <si>
    <t>ppor</t>
  </si>
  <si>
    <t>past</t>
  </si>
  <si>
    <t>sbou</t>
  </si>
  <si>
    <t>ssid</t>
  </si>
  <si>
    <t>srad</t>
  </si>
  <si>
    <t>Bar#</t>
  </si>
  <si>
    <t>H_Bar</t>
  </si>
  <si>
    <t>H_pct</t>
  </si>
  <si>
    <t>Bar0</t>
  </si>
  <si>
    <t>Bar1</t>
  </si>
  <si>
    <t>Bar2</t>
  </si>
  <si>
    <t>Bar3</t>
  </si>
  <si>
    <t>Bar4</t>
  </si>
  <si>
    <t>Bar17</t>
  </si>
  <si>
    <t>Bar10</t>
  </si>
  <si>
    <t>Bar11</t>
  </si>
  <si>
    <t>Bar12</t>
  </si>
  <si>
    <t>Bar13</t>
  </si>
  <si>
    <t>Bar14</t>
  </si>
  <si>
    <t>Bar15</t>
  </si>
  <si>
    <t>Bar16</t>
  </si>
  <si>
    <t>Bar18</t>
  </si>
  <si>
    <t>Bar19</t>
  </si>
  <si>
    <t>Bar20</t>
  </si>
  <si>
    <t>Bar21</t>
  </si>
  <si>
    <t>Dis_bar</t>
  </si>
  <si>
    <t>Dis_pct</t>
  </si>
  <si>
    <t>Bar5</t>
  </si>
  <si>
    <t>Bar6</t>
  </si>
  <si>
    <t>Dis_calculated</t>
  </si>
  <si>
    <t>Dead_calculated</t>
  </si>
  <si>
    <t>Sample size</t>
  </si>
  <si>
    <t>#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</si>
</sst>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48ABB-B7DB-0D49-99B0-4833EF4F025C}">
  <dimension ref="A1:J24"/>
  <sheetViews>
    <sheetView tabSelected="1" workbookViewId="0">
      <selection activeCell="H24" sqref="H24"/>
    </sheetView>
  </sheetViews>
  <sheetFormatPr baseColWidth="10" defaultRowHeight="16" x14ac:dyDescent="0.2"/>
  <cols>
    <col min="4" max="4" width="10.83203125" style="1"/>
    <col min="6" max="7" width="10.83203125" style="1"/>
  </cols>
  <sheetData>
    <row r="1" spans="1:10" x14ac:dyDescent="0.2">
      <c r="A1" t="s">
        <v>0</v>
      </c>
      <c r="B1" t="s">
        <v>24</v>
      </c>
      <c r="C1" t="s">
        <v>25</v>
      </c>
      <c r="D1" s="1" t="s">
        <v>26</v>
      </c>
      <c r="E1" t="s">
        <v>44</v>
      </c>
      <c r="F1" s="1" t="s">
        <v>45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 x14ac:dyDescent="0.2">
      <c r="A2" t="s">
        <v>1</v>
      </c>
      <c r="B2">
        <v>1</v>
      </c>
      <c r="C2" t="s">
        <v>27</v>
      </c>
      <c r="D2" s="1">
        <v>45.885979227999698</v>
      </c>
      <c r="E2" t="s">
        <v>27</v>
      </c>
      <c r="F2" s="1">
        <v>69.037352431495705</v>
      </c>
      <c r="G2" s="1">
        <f>F2-D2</f>
        <v>23.151373203496007</v>
      </c>
      <c r="H2" s="1">
        <f>100-(G2+D2)</f>
        <v>30.962647568504295</v>
      </c>
      <c r="I2">
        <v>13</v>
      </c>
    </row>
    <row r="3" spans="1:10" x14ac:dyDescent="0.2">
      <c r="A3" t="s">
        <v>2</v>
      </c>
      <c r="B3">
        <v>2</v>
      </c>
      <c r="C3" t="s">
        <v>28</v>
      </c>
      <c r="D3" s="1">
        <v>43.553990708558501</v>
      </c>
      <c r="E3" t="s">
        <v>28</v>
      </c>
      <c r="F3" s="1">
        <v>94.319586939469403</v>
      </c>
      <c r="G3" s="1">
        <f t="shared" ref="G3:G24" si="0">F3-D3</f>
        <v>50.765596230910901</v>
      </c>
      <c r="H3" s="1">
        <f t="shared" ref="H3:H24" si="1">100-(G3+D3)</f>
        <v>5.6804130605305971</v>
      </c>
      <c r="I3">
        <v>257</v>
      </c>
      <c r="J3">
        <v>3</v>
      </c>
    </row>
    <row r="4" spans="1:10" x14ac:dyDescent="0.2">
      <c r="A4" t="s">
        <v>3</v>
      </c>
      <c r="B4">
        <v>3</v>
      </c>
      <c r="D4" s="1">
        <v>0</v>
      </c>
      <c r="G4" s="1">
        <f t="shared" si="0"/>
        <v>0</v>
      </c>
      <c r="H4" s="1">
        <f t="shared" si="1"/>
        <v>100</v>
      </c>
      <c r="I4">
        <v>3</v>
      </c>
    </row>
    <row r="5" spans="1:10" x14ac:dyDescent="0.2">
      <c r="A5" t="s">
        <v>4</v>
      </c>
      <c r="B5">
        <v>4</v>
      </c>
      <c r="C5" t="s">
        <v>29</v>
      </c>
      <c r="D5" s="1">
        <v>10.014668645733799</v>
      </c>
      <c r="E5" t="s">
        <v>29</v>
      </c>
      <c r="F5" s="1">
        <v>41.591641394996202</v>
      </c>
      <c r="G5" s="1">
        <f t="shared" si="0"/>
        <v>31.576972749262403</v>
      </c>
      <c r="H5" s="1">
        <f t="shared" si="1"/>
        <v>58.408358605003798</v>
      </c>
      <c r="I5">
        <v>398</v>
      </c>
    </row>
    <row r="6" spans="1:10" x14ac:dyDescent="0.2">
      <c r="A6" t="s">
        <v>5</v>
      </c>
      <c r="B6">
        <v>5</v>
      </c>
      <c r="C6" t="s">
        <v>30</v>
      </c>
      <c r="D6" s="1">
        <v>8.40565092602621</v>
      </c>
      <c r="E6" t="s">
        <v>30</v>
      </c>
      <c r="F6" s="1">
        <v>21.495227510674798</v>
      </c>
      <c r="G6" s="1">
        <f t="shared" si="0"/>
        <v>13.089576584648588</v>
      </c>
      <c r="H6" s="1">
        <f t="shared" si="1"/>
        <v>78.504772489325205</v>
      </c>
      <c r="I6">
        <v>45</v>
      </c>
      <c r="J6">
        <v>1</v>
      </c>
    </row>
    <row r="7" spans="1:10" x14ac:dyDescent="0.2">
      <c r="A7" t="s">
        <v>6</v>
      </c>
      <c r="B7">
        <v>6</v>
      </c>
      <c r="C7" t="s">
        <v>31</v>
      </c>
      <c r="D7" s="1">
        <v>39.787838309445497</v>
      </c>
      <c r="E7" t="s">
        <v>31</v>
      </c>
      <c r="F7" s="1">
        <v>59.703962483056401</v>
      </c>
      <c r="G7" s="1">
        <f t="shared" si="0"/>
        <v>19.916124173610903</v>
      </c>
      <c r="H7" s="1">
        <f t="shared" si="1"/>
        <v>40.296037516943599</v>
      </c>
      <c r="I7">
        <v>5</v>
      </c>
    </row>
    <row r="8" spans="1:10" x14ac:dyDescent="0.2">
      <c r="A8" t="s">
        <v>7</v>
      </c>
      <c r="B8">
        <v>7</v>
      </c>
      <c r="C8" t="s">
        <v>32</v>
      </c>
      <c r="D8" s="1">
        <v>20.090978013646598</v>
      </c>
      <c r="E8" t="s">
        <v>46</v>
      </c>
      <c r="F8" s="1">
        <v>49.663909346907801</v>
      </c>
      <c r="G8" s="1">
        <f t="shared" si="0"/>
        <v>29.572931333261202</v>
      </c>
      <c r="H8" s="1">
        <f t="shared" si="1"/>
        <v>50.336090653092199</v>
      </c>
      <c r="I8">
        <v>10</v>
      </c>
    </row>
    <row r="9" spans="1:10" x14ac:dyDescent="0.2">
      <c r="A9" t="s">
        <v>8</v>
      </c>
      <c r="B9">
        <v>8</v>
      </c>
      <c r="C9" t="s">
        <v>33</v>
      </c>
      <c r="D9" s="1">
        <v>99.695663036735795</v>
      </c>
      <c r="G9" s="1">
        <v>0</v>
      </c>
      <c r="H9" s="1">
        <f t="shared" si="1"/>
        <v>0.30433696326420545</v>
      </c>
      <c r="I9">
        <v>1</v>
      </c>
    </row>
    <row r="10" spans="1:10" x14ac:dyDescent="0.2">
      <c r="A10" t="s">
        <v>9</v>
      </c>
      <c r="B10">
        <v>9</v>
      </c>
      <c r="D10" s="1">
        <v>0</v>
      </c>
      <c r="G10" s="1">
        <f t="shared" si="0"/>
        <v>0</v>
      </c>
      <c r="H10" s="1">
        <f t="shared" si="1"/>
        <v>100</v>
      </c>
      <c r="I10">
        <v>1</v>
      </c>
    </row>
    <row r="11" spans="1:10" x14ac:dyDescent="0.2">
      <c r="A11" t="s">
        <v>10</v>
      </c>
      <c r="B11">
        <v>10</v>
      </c>
      <c r="D11" s="1">
        <v>0</v>
      </c>
      <c r="G11" s="1">
        <f t="shared" si="0"/>
        <v>0</v>
      </c>
      <c r="H11" s="1">
        <f t="shared" si="1"/>
        <v>100</v>
      </c>
      <c r="I11">
        <v>1</v>
      </c>
    </row>
    <row r="12" spans="1:10" x14ac:dyDescent="0.2">
      <c r="A12" t="s">
        <v>11</v>
      </c>
      <c r="B12">
        <v>11</v>
      </c>
      <c r="C12" t="s">
        <v>34</v>
      </c>
      <c r="D12" s="1">
        <v>3.9210576194086402</v>
      </c>
      <c r="G12" s="1">
        <v>0</v>
      </c>
      <c r="H12" s="1">
        <f t="shared" si="1"/>
        <v>96.078942380591357</v>
      </c>
      <c r="I12">
        <v>24</v>
      </c>
    </row>
    <row r="13" spans="1:10" x14ac:dyDescent="0.2">
      <c r="A13" t="s">
        <v>12</v>
      </c>
      <c r="B13">
        <v>12</v>
      </c>
      <c r="C13" t="s">
        <v>35</v>
      </c>
      <c r="D13" s="1">
        <v>21.859430845878901</v>
      </c>
      <c r="E13" t="s">
        <v>47</v>
      </c>
      <c r="F13" s="1">
        <v>94.151074948553998</v>
      </c>
      <c r="G13" s="1">
        <f t="shared" si="0"/>
        <v>72.291644102675093</v>
      </c>
      <c r="H13" s="1">
        <f t="shared" si="1"/>
        <v>5.8489250514460025</v>
      </c>
      <c r="I13">
        <v>18</v>
      </c>
    </row>
    <row r="14" spans="1:10" x14ac:dyDescent="0.2">
      <c r="A14" t="s">
        <v>13</v>
      </c>
      <c r="B14">
        <v>13</v>
      </c>
      <c r="C14" t="s">
        <v>36</v>
      </c>
      <c r="D14" s="1">
        <v>7.8674997292321001</v>
      </c>
      <c r="E14" t="s">
        <v>33</v>
      </c>
      <c r="F14" s="1">
        <v>14.863465287555499</v>
      </c>
      <c r="G14" s="1">
        <f t="shared" si="0"/>
        <v>6.9959655583233991</v>
      </c>
      <c r="H14" s="1">
        <f t="shared" si="1"/>
        <v>85.136534712444501</v>
      </c>
      <c r="I14">
        <v>86</v>
      </c>
      <c r="J14">
        <v>5</v>
      </c>
    </row>
    <row r="15" spans="1:10" x14ac:dyDescent="0.2">
      <c r="A15" t="s">
        <v>14</v>
      </c>
      <c r="B15">
        <v>14</v>
      </c>
      <c r="D15" s="1">
        <v>0</v>
      </c>
      <c r="E15" t="s">
        <v>34</v>
      </c>
      <c r="F15" s="1">
        <v>99.711970648759802</v>
      </c>
      <c r="G15" s="1">
        <f t="shared" si="0"/>
        <v>99.711970648759802</v>
      </c>
      <c r="H15" s="1">
        <f t="shared" si="1"/>
        <v>0.28802935124019768</v>
      </c>
      <c r="I15">
        <v>1</v>
      </c>
    </row>
    <row r="16" spans="1:10" x14ac:dyDescent="0.2">
      <c r="A16" t="s">
        <v>15</v>
      </c>
      <c r="B16">
        <v>15</v>
      </c>
      <c r="C16" t="s">
        <v>37</v>
      </c>
      <c r="D16" s="1">
        <v>11.6345581067908</v>
      </c>
      <c r="E16" t="s">
        <v>35</v>
      </c>
      <c r="F16" s="1">
        <v>83.741212735567998</v>
      </c>
      <c r="G16" s="1">
        <f t="shared" si="0"/>
        <v>72.106654628777193</v>
      </c>
      <c r="H16" s="1">
        <f t="shared" si="1"/>
        <v>16.258787264432002</v>
      </c>
      <c r="I16">
        <v>25</v>
      </c>
    </row>
    <row r="17" spans="1:10" x14ac:dyDescent="0.2">
      <c r="A17" t="s">
        <v>16</v>
      </c>
      <c r="B17">
        <v>16</v>
      </c>
      <c r="C17" t="s">
        <v>38</v>
      </c>
      <c r="D17" s="1">
        <v>37.639763414497999</v>
      </c>
      <c r="E17" t="s">
        <v>36</v>
      </c>
      <c r="F17" s="1">
        <v>82.491132351348398</v>
      </c>
      <c r="G17" s="1">
        <f t="shared" si="0"/>
        <v>44.851368936850399</v>
      </c>
      <c r="H17" s="1">
        <f t="shared" si="1"/>
        <v>17.508867648651602</v>
      </c>
      <c r="I17">
        <v>29</v>
      </c>
    </row>
    <row r="18" spans="1:10" x14ac:dyDescent="0.2">
      <c r="A18" t="s">
        <v>17</v>
      </c>
      <c r="B18">
        <v>17</v>
      </c>
      <c r="C18" t="s">
        <v>39</v>
      </c>
      <c r="D18" s="1">
        <v>46.7937696306725</v>
      </c>
      <c r="E18" t="s">
        <v>37</v>
      </c>
      <c r="F18" s="1">
        <v>75.130963457820897</v>
      </c>
      <c r="G18" s="1">
        <f t="shared" si="0"/>
        <v>28.337193827148397</v>
      </c>
      <c r="H18" s="1">
        <f t="shared" si="1"/>
        <v>24.869036542179103</v>
      </c>
      <c r="I18">
        <v>104</v>
      </c>
      <c r="J18">
        <v>2</v>
      </c>
    </row>
    <row r="19" spans="1:10" x14ac:dyDescent="0.2">
      <c r="A19" t="s">
        <v>18</v>
      </c>
      <c r="B19">
        <v>18</v>
      </c>
      <c r="D19" s="1">
        <v>0</v>
      </c>
      <c r="G19" s="1">
        <f t="shared" si="0"/>
        <v>0</v>
      </c>
      <c r="H19" s="1">
        <f t="shared" si="1"/>
        <v>100</v>
      </c>
      <c r="I19">
        <v>1</v>
      </c>
    </row>
    <row r="20" spans="1:10" x14ac:dyDescent="0.2">
      <c r="A20" t="s">
        <v>19</v>
      </c>
      <c r="B20">
        <v>19</v>
      </c>
      <c r="C20" t="s">
        <v>32</v>
      </c>
      <c r="D20" s="1">
        <v>92.531185487497098</v>
      </c>
      <c r="E20" t="s">
        <v>38</v>
      </c>
      <c r="F20" s="1">
        <v>99.701098907410497</v>
      </c>
      <c r="G20" s="1">
        <f t="shared" si="0"/>
        <v>7.1699134199133994</v>
      </c>
      <c r="H20" s="1">
        <f t="shared" si="1"/>
        <v>0.29890109258950304</v>
      </c>
      <c r="I20">
        <v>14</v>
      </c>
    </row>
    <row r="21" spans="1:10" x14ac:dyDescent="0.2">
      <c r="A21" t="s">
        <v>20</v>
      </c>
      <c r="B21">
        <v>20</v>
      </c>
      <c r="C21" t="s">
        <v>40</v>
      </c>
      <c r="D21" s="1">
        <v>84.464353406260102</v>
      </c>
      <c r="E21" t="s">
        <v>39</v>
      </c>
      <c r="F21" s="1">
        <v>98.097517058377505</v>
      </c>
      <c r="G21" s="1">
        <f t="shared" si="0"/>
        <v>13.633163652117403</v>
      </c>
      <c r="H21" s="1">
        <f t="shared" si="1"/>
        <v>1.9024829416224946</v>
      </c>
      <c r="I21">
        <v>66</v>
      </c>
      <c r="J21">
        <v>4</v>
      </c>
    </row>
    <row r="22" spans="1:10" x14ac:dyDescent="0.2">
      <c r="A22" t="s">
        <v>21</v>
      </c>
      <c r="B22">
        <v>21</v>
      </c>
      <c r="C22" t="s">
        <v>41</v>
      </c>
      <c r="D22" s="1">
        <v>24.729570562114102</v>
      </c>
      <c r="E22" t="s">
        <v>32</v>
      </c>
      <c r="F22" s="1">
        <v>74.598248131701496</v>
      </c>
      <c r="G22" s="1">
        <f t="shared" si="0"/>
        <v>49.868677569587391</v>
      </c>
      <c r="H22" s="1">
        <f t="shared" si="1"/>
        <v>25.401751868298504</v>
      </c>
      <c r="I22">
        <v>10</v>
      </c>
      <c r="J22">
        <v>2</v>
      </c>
    </row>
    <row r="23" spans="1:10" x14ac:dyDescent="0.2">
      <c r="A23" t="s">
        <v>23</v>
      </c>
      <c r="B23">
        <v>22</v>
      </c>
      <c r="C23" t="s">
        <v>42</v>
      </c>
      <c r="D23" s="1">
        <v>99.706364907126598</v>
      </c>
      <c r="G23" s="1">
        <v>0</v>
      </c>
      <c r="H23" s="1">
        <f t="shared" si="1"/>
        <v>0.2936350928734015</v>
      </c>
      <c r="I23">
        <v>3</v>
      </c>
    </row>
    <row r="24" spans="1:10" x14ac:dyDescent="0.2">
      <c r="A24" t="s">
        <v>22</v>
      </c>
      <c r="B24">
        <v>23</v>
      </c>
      <c r="C24" t="s">
        <v>43</v>
      </c>
      <c r="D24" s="1">
        <v>57.551187824921399</v>
      </c>
      <c r="E24" t="s">
        <v>40</v>
      </c>
      <c r="F24" s="1">
        <v>98.097517058377505</v>
      </c>
      <c r="G24" s="1">
        <f t="shared" si="0"/>
        <v>40.546329233456106</v>
      </c>
      <c r="H24" s="1">
        <f t="shared" si="1"/>
        <v>1.9024829416224946</v>
      </c>
      <c r="I24">
        <v>518</v>
      </c>
      <c r="J2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Sienkiewicz, Brooke K</dc:creator>
  <cp:lastModifiedBy>Sienkiewicz, Brooke K</cp:lastModifiedBy>
  <dcterms:created xsi:type="dcterms:W3CDTF">2026-06-26T17:39:41Z</dcterms:created>
  <dcterms:modified xsi:type="dcterms:W3CDTF">2026-06-26T18:19:44Z</dcterms:modified>
</cp:coreProperties>
</file>